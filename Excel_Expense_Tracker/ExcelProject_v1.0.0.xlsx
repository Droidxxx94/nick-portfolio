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68f4c60a1fdd50/"/>
    </mc:Choice>
  </mc:AlternateContent>
  <xr:revisionPtr revIDLastSave="508" documentId="8_{18C28042-B0A7-493A-B38E-88097526738D}" xr6:coauthVersionLast="47" xr6:coauthVersionMax="47" xr10:uidLastSave="{A122263A-B766-4301-BFEE-FF04F634BA1A}"/>
  <bookViews>
    <workbookView xWindow="-120" yWindow="-120" windowWidth="29040" windowHeight="15720" activeTab="1" xr2:uid="{ADC6D158-AA3B-40C8-B045-126AAFB7BD31}"/>
  </bookViews>
  <sheets>
    <sheet name="Sheet2" sheetId="2" r:id="rId1"/>
    <sheet name="Sheet1" sheetId="1" r:id="rId2"/>
  </sheets>
  <calcPr calcId="191029"/>
  <pivotCaches>
    <pivotCache cacheId="3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E30" i="1"/>
</calcChain>
</file>

<file path=xl/sharedStrings.xml><?xml version="1.0" encoding="utf-8"?>
<sst xmlns="http://schemas.openxmlformats.org/spreadsheetml/2006/main" count="111" uniqueCount="80">
  <si>
    <t>Item</t>
  </si>
  <si>
    <t>Category</t>
  </si>
  <si>
    <t>Amount</t>
  </si>
  <si>
    <t>Date</t>
  </si>
  <si>
    <t>Notes</t>
  </si>
  <si>
    <t>Item 1</t>
  </si>
  <si>
    <t>Item 2</t>
  </si>
  <si>
    <t>Item 3</t>
  </si>
  <si>
    <t>Food</t>
  </si>
  <si>
    <t>Supplies</t>
  </si>
  <si>
    <t>Gas</t>
  </si>
  <si>
    <t>Lunch</t>
  </si>
  <si>
    <t>Pens</t>
  </si>
  <si>
    <t>Trip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</si>
  <si>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</si>
  <si>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</si>
  <si>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</si>
  <si>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</si>
  <si>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</si>
  <si>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</si>
  <si>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</si>
  <si>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</si>
  <si>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</si>
  <si>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</si>
  <si>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</si>
  <si>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</si>
  <si>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</si>
  <si>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</si>
  <si>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</si>
  <si>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</si>
  <si>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</si>
  <si>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Office Supplies</t>
  </si>
  <si>
    <t>Notebooks</t>
  </si>
  <si>
    <t>Utilities</t>
  </si>
  <si>
    <t>Electric Bill</t>
  </si>
  <si>
    <t>Coffe &amp; Bagel</t>
  </si>
  <si>
    <t>Transportation</t>
  </si>
  <si>
    <t>Bus Pass</t>
  </si>
  <si>
    <t>Maintenance</t>
  </si>
  <si>
    <t>Cleaning Supplies</t>
  </si>
  <si>
    <t>Software</t>
  </si>
  <si>
    <t>Monthly Subscription</t>
  </si>
  <si>
    <t>Equipment</t>
  </si>
  <si>
    <t>Mouse &amp; Keyboard</t>
  </si>
  <si>
    <t>Printing</t>
  </si>
  <si>
    <t>Document Copies</t>
  </si>
  <si>
    <t>Training</t>
  </si>
  <si>
    <t>Online Course Fee</t>
  </si>
  <si>
    <t>Commute</t>
  </si>
  <si>
    <t>Parking</t>
  </si>
  <si>
    <t>Downtown</t>
  </si>
  <si>
    <t>Ride Share</t>
  </si>
  <si>
    <t>Work Trip</t>
  </si>
  <si>
    <t>Dinner</t>
  </si>
  <si>
    <t>Groceries</t>
  </si>
  <si>
    <t>Weekly Shopping</t>
  </si>
  <si>
    <t>Snacks</t>
  </si>
  <si>
    <t>Chips</t>
  </si>
  <si>
    <t>Gifts</t>
  </si>
  <si>
    <t>Birthday Card</t>
  </si>
  <si>
    <t>Household</t>
  </si>
  <si>
    <t>Cleaning Cloths</t>
  </si>
  <si>
    <t>Item 21</t>
  </si>
  <si>
    <t>Sticky Notes</t>
  </si>
  <si>
    <t>Item 22</t>
  </si>
  <si>
    <t xml:space="preserve">Printing </t>
  </si>
  <si>
    <t>Ink Refill</t>
  </si>
  <si>
    <t>Item 23</t>
  </si>
  <si>
    <t>Cloud Storage</t>
  </si>
  <si>
    <t>Item 24</t>
  </si>
  <si>
    <t>Desk Lamp</t>
  </si>
  <si>
    <t>Item 25</t>
  </si>
  <si>
    <t>Screen Cleaner</t>
  </si>
  <si>
    <t>Total Amount</t>
  </si>
  <si>
    <t>Average Amount</t>
  </si>
  <si>
    <t>Highest Amount</t>
  </si>
  <si>
    <t>Lowest Amount</t>
  </si>
  <si>
    <t>Total Items</t>
  </si>
  <si>
    <t>Expense Tracker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</si>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</sst>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[ExcelProject_v1.0.0.xlsx]Sheet2!PivotTable1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Sheet2!$A$4:$A$26</c:f>
              <c:strCache>
                <c:ptCount val="23"/>
                <c:pt idx="0">
                  <c:v>Total Sum</c:v>
                </c:pt>
                <c:pt idx="1">
                  <c:v>Gas</c:v>
                </c:pt>
                <c:pt idx="2">
                  <c:v>Equipment</c:v>
                </c:pt>
                <c:pt idx="3">
                  <c:v>Utilities</c:v>
                </c:pt>
                <c:pt idx="4">
                  <c:v>Highest Amount</c:v>
                </c:pt>
                <c:pt idx="5">
                  <c:v>Groceries</c:v>
                </c:pt>
                <c:pt idx="6">
                  <c:v>Maintenance</c:v>
                </c:pt>
                <c:pt idx="7">
                  <c:v>Food</c:v>
                </c:pt>
                <c:pt idx="8">
                  <c:v>Software</c:v>
                </c:pt>
                <c:pt idx="9">
                  <c:v>Training</c:v>
                </c:pt>
                <c:pt idx="10">
                  <c:v>Total Items</c:v>
                </c:pt>
                <c:pt idx="11">
                  <c:v>Gifts</c:v>
                </c:pt>
                <c:pt idx="12">
                  <c:v>Office Supplies</c:v>
                </c:pt>
                <c:pt idx="13">
                  <c:v>Average Amount</c:v>
                </c:pt>
                <c:pt idx="14">
                  <c:v>Transportation</c:v>
                </c:pt>
                <c:pt idx="15">
                  <c:v>Household</c:v>
                </c:pt>
                <c:pt idx="16">
                  <c:v>Ride Share</c:v>
                </c:pt>
                <c:pt idx="17">
                  <c:v>Supplies</c:v>
                </c:pt>
                <c:pt idx="18">
                  <c:v>Printing</c:v>
                </c:pt>
                <c:pt idx="19">
                  <c:v>Printing </c:v>
                </c:pt>
                <c:pt idx="20">
                  <c:v>Parking</c:v>
                </c:pt>
                <c:pt idx="21">
                  <c:v>Lowest Amount</c:v>
                </c:pt>
                <c:pt idx="22">
                  <c:v>Snacks</c:v>
                </c:pt>
              </c:strCache>
            </c:strRef>
          </c:cat>
          <c:val>
            <c:numRef>
              <c:f>Sheet2!$B$4:$B$26</c:f>
              <c:numCache>
                <c:formatCode>General</c:formatCode>
                <c:ptCount val="23"/>
                <c:pt idx="0">
                  <c:v>540.28000000000009</c:v>
                </c:pt>
                <c:pt idx="1">
                  <c:v>80.2</c:v>
                </c:pt>
                <c:pt idx="2">
                  <c:v>77.5</c:v>
                </c:pt>
                <c:pt idx="3">
                  <c:v>63.8</c:v>
                </c:pt>
                <c:pt idx="4">
                  <c:v>63.8</c:v>
                </c:pt>
                <c:pt idx="5">
                  <c:v>54.6</c:v>
                </c:pt>
                <c:pt idx="6">
                  <c:v>39.739999999999995</c:v>
                </c:pt>
                <c:pt idx="7">
                  <c:v>33.450000000000003</c:v>
                </c:pt>
                <c:pt idx="8">
                  <c:v>32.979999999999997</c:v>
                </c:pt>
                <c:pt idx="9">
                  <c:v>29</c:v>
                </c:pt>
                <c:pt idx="10">
                  <c:v>25</c:v>
                </c:pt>
                <c:pt idx="11">
                  <c:v>25</c:v>
                </c:pt>
                <c:pt idx="12">
                  <c:v>23.740000000000002</c:v>
                </c:pt>
                <c:pt idx="13">
                  <c:v>21.611200000000004</c:v>
                </c:pt>
                <c:pt idx="14">
                  <c:v>18.399999999999999</c:v>
                </c:pt>
                <c:pt idx="15">
                  <c:v>17.89</c:v>
                </c:pt>
                <c:pt idx="16">
                  <c:v>16.75</c:v>
                </c:pt>
                <c:pt idx="17">
                  <c:v>8.99</c:v>
                </c:pt>
                <c:pt idx="18">
                  <c:v>6.5</c:v>
                </c:pt>
                <c:pt idx="19">
                  <c:v>4.25</c:v>
                </c:pt>
                <c:pt idx="20">
                  <c:v>4</c:v>
                </c:pt>
                <c:pt idx="21">
                  <c:v>3.49</c:v>
                </c:pt>
                <c:pt idx="22">
                  <c:v>3.49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D-48C8-A6B8-80CFE89F79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Expense Breakdown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Sheet1!$D$5:$D$29</c:f>
              <c:strCache>
                <c:ptCount val="25"/>
                <c:pt idx="0">
                  <c:v>Food</c:v>
                </c:pt>
                <c:pt idx="1">
                  <c:v>Supplies</c:v>
                </c:pt>
                <c:pt idx="2">
                  <c:v>Gas</c:v>
                </c:pt>
                <c:pt idx="3">
                  <c:v>Office Supplies</c:v>
                </c:pt>
                <c:pt idx="4">
                  <c:v>Utilities</c:v>
                </c:pt>
                <c:pt idx="5">
                  <c:v>Food</c:v>
                </c:pt>
                <c:pt idx="6">
                  <c:v>Transportation</c:v>
                </c:pt>
                <c:pt idx="7">
                  <c:v>Maintenance</c:v>
                </c:pt>
                <c:pt idx="8">
                  <c:v>Software</c:v>
                </c:pt>
                <c:pt idx="9">
                  <c:v>Equipment</c:v>
                </c:pt>
                <c:pt idx="10">
                  <c:v>Printing</c:v>
                </c:pt>
                <c:pt idx="11">
                  <c:v>Training</c:v>
                </c:pt>
                <c:pt idx="12">
                  <c:v>Gas</c:v>
                </c:pt>
                <c:pt idx="13">
                  <c:v>Parking</c:v>
                </c:pt>
                <c:pt idx="14">
                  <c:v>Ride Share</c:v>
                </c:pt>
                <c:pt idx="15">
                  <c:v>Food</c:v>
                </c:pt>
                <c:pt idx="16">
                  <c:v>Groceries</c:v>
                </c:pt>
                <c:pt idx="17">
                  <c:v>Snacks</c:v>
                </c:pt>
                <c:pt idx="18">
                  <c:v>Gifts</c:v>
                </c:pt>
                <c:pt idx="19">
                  <c:v>Household</c:v>
                </c:pt>
                <c:pt idx="20">
                  <c:v>Office Supplies</c:v>
                </c:pt>
                <c:pt idx="21">
                  <c:v>Printing </c:v>
                </c:pt>
                <c:pt idx="22">
                  <c:v>Software</c:v>
                </c:pt>
                <c:pt idx="23">
                  <c:v>Equipment</c:v>
                </c:pt>
                <c:pt idx="24">
                  <c:v>Maintenance</c:v>
                </c:pt>
              </c:strCache>
            </c:strRef>
          </c:cat>
          <c:val>
            <c:numRef>
              <c:f>Sheet1!$E$5:$E$29</c:f>
              <c:numCache>
                <c:formatCode>General</c:formatCode>
                <c:ptCount val="25"/>
                <c:pt idx="0">
                  <c:v>12.5</c:v>
                </c:pt>
                <c:pt idx="1">
                  <c:v>8.99</c:v>
                </c:pt>
                <c:pt idx="2">
                  <c:v>42</c:v>
                </c:pt>
                <c:pt idx="3">
                  <c:v>14.25</c:v>
                </c:pt>
                <c:pt idx="4">
                  <c:v>63.8</c:v>
                </c:pt>
                <c:pt idx="5">
                  <c:v>9.75</c:v>
                </c:pt>
                <c:pt idx="6">
                  <c:v>18.399999999999999</c:v>
                </c:pt>
                <c:pt idx="7">
                  <c:v>27.99</c:v>
                </c:pt>
                <c:pt idx="8">
                  <c:v>12.99</c:v>
                </c:pt>
                <c:pt idx="9">
                  <c:v>45</c:v>
                </c:pt>
                <c:pt idx="10">
                  <c:v>6.5</c:v>
                </c:pt>
                <c:pt idx="11">
                  <c:v>29</c:v>
                </c:pt>
                <c:pt idx="12">
                  <c:v>38.200000000000003</c:v>
                </c:pt>
                <c:pt idx="13">
                  <c:v>4</c:v>
                </c:pt>
                <c:pt idx="14">
                  <c:v>16.75</c:v>
                </c:pt>
                <c:pt idx="15">
                  <c:v>11.2</c:v>
                </c:pt>
                <c:pt idx="16">
                  <c:v>54.6</c:v>
                </c:pt>
                <c:pt idx="17">
                  <c:v>3.49</c:v>
                </c:pt>
                <c:pt idx="18">
                  <c:v>25</c:v>
                </c:pt>
                <c:pt idx="19">
                  <c:v>17.89</c:v>
                </c:pt>
                <c:pt idx="20">
                  <c:v>9.49</c:v>
                </c:pt>
                <c:pt idx="21">
                  <c:v>4.25</c:v>
                </c:pt>
                <c:pt idx="22">
                  <c:v>19.989999999999998</c:v>
                </c:pt>
                <c:pt idx="23">
                  <c:v>32.5</c:v>
                </c:pt>
                <c:pt idx="24">
                  <c:v>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F-40FA-800B-AAC5A47FF6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71305055"/>
        <c:axId val="2012684272"/>
      </c:barChart>
      <c:catAx>
        <c:axId val="1971305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84272"/>
        <c:crosses val="autoZero"/>
        <c:auto val="1"/>
        <c:lblAlgn val="ctr"/>
        <c:lblOffset val="100"/>
        <c:noMultiLvlLbl val="0"/>
      </c:catAx>
      <c:valAx>
        <c:axId val="20126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30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[ExcelProject_v1.0.0.xlsx]Sheet2!PivotTable1</c:name>
    <c:fmtId val="10"/>
  </c:pivotSource>
  <c:chart>
    <c:title>
      <c:layout>
        <c:manualLayout>
          <c:xMode val="edge"/>
          <c:yMode val="edge"/>
          <c:x val="0.59586234671485738"/>
          <c:y val="0.382414698162729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8641538660126506E-2"/>
              <c:y val="3.268316782033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234103523944754E-2"/>
              <c:y val="4.492871518949334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064045436943333"/>
              <c:y val="-2.772273059610061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2146895572479906E-3"/>
              <c:y val="1.08491958984226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9983198657544857"/>
              <c:y val="3.15093782444045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425279463017941"/>
              <c:y val="-5.93676889655731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6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31984902542919841"/>
              <c:y val="-0.133740507069667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037945010971994E-2"/>
              <c:y val="-0.135956220620436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3042513489092552"/>
              <c:y val="-4.40636482939632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3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60655737704918"/>
                  <c:h val="0.10024571576091094"/>
                </c:manualLayout>
              </c15:layout>
            </c:ext>
          </c:extLst>
        </c:dLbl>
      </c:pivotFmt>
      <c:pivotFmt>
        <c:idx val="47"/>
        <c:spPr>
          <a:gradFill rotWithShape="1">
            <a:gsLst>
              <a:gs pos="0">
                <a:schemeClr val="accent4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437586678714341"/>
              <c:y val="4.11847845668957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5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208111527042726"/>
              <c:y val="8.19399225274116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A2-45E4-805F-3494E7B7CE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A2-45E4-805F-3494E7B7CE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A2-45E4-805F-3494E7B7CE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A2-45E4-805F-3494E7B7CE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A2-45E4-805F-3494E7B7CE3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A2-45E4-805F-3494E7B7CE3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A2-45E4-805F-3494E7B7CE3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A2-45E4-805F-3494E7B7CE3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A2-45E4-805F-3494E7B7CE3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A2-45E4-805F-3494E7B7CE3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A2-45E4-805F-3494E7B7CE3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A2-45E4-805F-3494E7B7CE3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6A2-45E4-805F-3494E7B7CE3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6A2-45E4-805F-3494E7B7CE3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6A2-45E4-805F-3494E7B7CE3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6A2-45E4-805F-3494E7B7CE3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6A2-45E4-805F-3494E7B7CE3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6A2-45E4-805F-3494E7B7CE3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6A2-45E4-805F-3494E7B7CE3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6A2-45E4-805F-3494E7B7CE3F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6A2-45E4-805F-3494E7B7CE3F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6A2-45E4-805F-3494E7B7CE3F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6A2-45E4-805F-3494E7B7CE3F}"/>
              </c:ext>
            </c:extLst>
          </c:dPt>
          <c:dLbls>
            <c:dLbl>
              <c:idx val="8"/>
              <c:layout>
                <c:manualLayout>
                  <c:x val="-7.8641538660126506E-2"/>
                  <c:y val="3.268316782033590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6A2-45E4-805F-3494E7B7CE3F}"/>
                </c:ext>
              </c:extLst>
            </c:dLbl>
            <c:dLbl>
              <c:idx val="10"/>
              <c:layout>
                <c:manualLayout>
                  <c:x val="-0.12064045436943333"/>
                  <c:y val="-2.772273059610061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6A2-45E4-805F-3494E7B7CE3F}"/>
                </c:ext>
              </c:extLst>
            </c:dLbl>
            <c:dLbl>
              <c:idx val="12"/>
              <c:layout>
                <c:manualLayout>
                  <c:x val="-4.2146895572479906E-3"/>
                  <c:y val="1.084919589842262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6A2-45E4-805F-3494E7B7CE3F}"/>
                </c:ext>
              </c:extLst>
            </c:dLbl>
            <c:dLbl>
              <c:idx val="13"/>
              <c:layout>
                <c:manualLayout>
                  <c:x val="-0.19983198657544857"/>
                  <c:y val="3.150937824440453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6A2-45E4-805F-3494E7B7CE3F}"/>
                </c:ext>
              </c:extLst>
            </c:dLbl>
            <c:dLbl>
              <c:idx val="14"/>
              <c:layout>
                <c:manualLayout>
                  <c:x val="-0.22425279463017941"/>
                  <c:y val="-5.93676889655731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6A2-45E4-805F-3494E7B7CE3F}"/>
                </c:ext>
              </c:extLst>
            </c:dLbl>
            <c:dLbl>
              <c:idx val="17"/>
              <c:layout>
                <c:manualLayout>
                  <c:x val="-0.31984902542919841"/>
                  <c:y val="-0.1337405070696677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6A2-45E4-805F-3494E7B7CE3F}"/>
                </c:ext>
              </c:extLst>
            </c:dLbl>
            <c:dLbl>
              <c:idx val="18"/>
              <c:layout>
                <c:manualLayout>
                  <c:x val="-1.037945010971994E-2"/>
                  <c:y val="-0.1359562206204369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6A2-45E4-805F-3494E7B7CE3F}"/>
                </c:ext>
              </c:extLst>
            </c:dLbl>
            <c:dLbl>
              <c:idx val="20"/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0655737704918"/>
                      <c:h val="0.100245715760910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9-66A2-45E4-805F-3494E7B7CE3F}"/>
                </c:ext>
              </c:extLst>
            </c:dLbl>
            <c:dLbl>
              <c:idx val="21"/>
              <c:layout>
                <c:manualLayout>
                  <c:x val="0.2437586678714341"/>
                  <c:y val="4.118478456689579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6A2-45E4-805F-3494E7B7CE3F}"/>
                </c:ext>
              </c:extLst>
            </c:dLbl>
            <c:dLbl>
              <c:idx val="22"/>
              <c:layout>
                <c:manualLayout>
                  <c:x val="0.10208111527042726"/>
                  <c:y val="8.193992252741164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6A2-45E4-805F-3494E7B7CE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Sheet2!$A$4:$A$26</c:f>
              <c:strCache>
                <c:ptCount val="23"/>
                <c:pt idx="0">
                  <c:v>Total Sum</c:v>
                </c:pt>
                <c:pt idx="1">
                  <c:v>Gas</c:v>
                </c:pt>
                <c:pt idx="2">
                  <c:v>Equipment</c:v>
                </c:pt>
                <c:pt idx="3">
                  <c:v>Utilities</c:v>
                </c:pt>
                <c:pt idx="4">
                  <c:v>Highest Amount</c:v>
                </c:pt>
                <c:pt idx="5">
                  <c:v>Groceries</c:v>
                </c:pt>
                <c:pt idx="6">
                  <c:v>Maintenance</c:v>
                </c:pt>
                <c:pt idx="7">
                  <c:v>Food</c:v>
                </c:pt>
                <c:pt idx="8">
                  <c:v>Software</c:v>
                </c:pt>
                <c:pt idx="9">
                  <c:v>Training</c:v>
                </c:pt>
                <c:pt idx="10">
                  <c:v>Total Items</c:v>
                </c:pt>
                <c:pt idx="11">
                  <c:v>Gifts</c:v>
                </c:pt>
                <c:pt idx="12">
                  <c:v>Office Supplies</c:v>
                </c:pt>
                <c:pt idx="13">
                  <c:v>Average Amount</c:v>
                </c:pt>
                <c:pt idx="14">
                  <c:v>Transportation</c:v>
                </c:pt>
                <c:pt idx="15">
                  <c:v>Household</c:v>
                </c:pt>
                <c:pt idx="16">
                  <c:v>Ride Share</c:v>
                </c:pt>
                <c:pt idx="17">
                  <c:v>Supplies</c:v>
                </c:pt>
                <c:pt idx="18">
                  <c:v>Printing</c:v>
                </c:pt>
                <c:pt idx="19">
                  <c:v>Printing </c:v>
                </c:pt>
                <c:pt idx="20">
                  <c:v>Parking</c:v>
                </c:pt>
                <c:pt idx="21">
                  <c:v>Lowest Amount</c:v>
                </c:pt>
                <c:pt idx="22">
                  <c:v>Snacks</c:v>
                </c:pt>
              </c:strCache>
            </c:strRef>
          </c:cat>
          <c:val>
            <c:numRef>
              <c:f>Sheet2!$B$4:$B$26</c:f>
              <c:numCache>
                <c:formatCode>General</c:formatCode>
                <c:ptCount val="23"/>
                <c:pt idx="0">
                  <c:v>540.28000000000009</c:v>
                </c:pt>
                <c:pt idx="1">
                  <c:v>80.2</c:v>
                </c:pt>
                <c:pt idx="2">
                  <c:v>77.5</c:v>
                </c:pt>
                <c:pt idx="3">
                  <c:v>63.8</c:v>
                </c:pt>
                <c:pt idx="4">
                  <c:v>63.8</c:v>
                </c:pt>
                <c:pt idx="5">
                  <c:v>54.6</c:v>
                </c:pt>
                <c:pt idx="6">
                  <c:v>39.739999999999995</c:v>
                </c:pt>
                <c:pt idx="7">
                  <c:v>33.450000000000003</c:v>
                </c:pt>
                <c:pt idx="8">
                  <c:v>32.979999999999997</c:v>
                </c:pt>
                <c:pt idx="9">
                  <c:v>29</c:v>
                </c:pt>
                <c:pt idx="10">
                  <c:v>25</c:v>
                </c:pt>
                <c:pt idx="11">
                  <c:v>25</c:v>
                </c:pt>
                <c:pt idx="12">
                  <c:v>23.740000000000002</c:v>
                </c:pt>
                <c:pt idx="13">
                  <c:v>21.611200000000004</c:v>
                </c:pt>
                <c:pt idx="14">
                  <c:v>18.399999999999999</c:v>
                </c:pt>
                <c:pt idx="15">
                  <c:v>17.89</c:v>
                </c:pt>
                <c:pt idx="16">
                  <c:v>16.75</c:v>
                </c:pt>
                <c:pt idx="17">
                  <c:v>8.99</c:v>
                </c:pt>
                <c:pt idx="18">
                  <c:v>6.5</c:v>
                </c:pt>
                <c:pt idx="19">
                  <c:v>4.25</c:v>
                </c:pt>
                <c:pt idx="20">
                  <c:v>4</c:v>
                </c:pt>
                <c:pt idx="21">
                  <c:v>3.49</c:v>
                </c:pt>
                <c:pt idx="22">
                  <c:v>3.49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6A2-45E4-805F-3494E7B7CE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11</xdr:row>
      <xdr:rowOff>52387</xdr:rowOff>
    </xdr:from>
    <xdr:to>
      <xdr:col>14</xdr:col>
      <xdr:colOff>342900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A8C72-7603-5461-C568-EC4FF884C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35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E2E06F-789E-161B-F1FC-7A57F21C3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7937</xdr:colOff>
      <xdr:row>53</xdr:row>
      <xdr:rowOff>7938</xdr:rowOff>
    </xdr:from>
    <xdr:to>
      <xdr:col>6</xdr:col>
      <xdr:colOff>1325562</xdr:colOff>
      <xdr:row>70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8BC71D-F15F-4F01-86F5-C6DE1A876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Rogalla" refreshedDate="46275.865369791667" createdVersion="8" refreshedVersion="8" minRefreshableVersion="3" recordCount="30" xr:uid="{1650AC5C-AF8E-4983-A3E3-FD696A5969D9}">
  <cacheSource type="worksheet">
    <worksheetSource name="ExpenseTracker"/>
  </cacheSource>
  <cacheFields count="5">
    <cacheField name="Item" numFmtId="0">
      <sharedItems containsBlank="1"/>
    </cacheField>
    <cacheField name="Category" numFmtId="0">
      <sharedItems count="23">
        <s v="Food"/>
        <s v="Supplies"/>
        <s v="Gas"/>
        <s v="Office Supplies"/>
        <s v="Utilities"/>
        <s v="Transportation"/>
        <s v="Maintenance"/>
        <s v="Software"/>
        <s v="Equipment"/>
        <s v="Printing"/>
        <s v="Training"/>
        <s v="Parking"/>
        <s v="Ride Share"/>
        <s v="Groceries"/>
        <s v="Snacks"/>
        <s v="Gifts"/>
        <s v="Household"/>
        <s v="Printing "/>
        <s v="Total Amount"/>
        <s v="Average Amount"/>
        <s v="Highest Amount"/>
        <s v="Lowest Amount"/>
        <s v="Total Items"/>
      </sharedItems>
    </cacheField>
    <cacheField name="Amount" numFmtId="0">
      <sharedItems containsSemiMixedTypes="0" containsString="0" containsNumber="1" minValue="3.49" maxValue="540.28000000000009"/>
    </cacheField>
    <cacheField name="Date" numFmtId="0">
      <sharedItems containsNonDate="0" containsDate="1" containsString="0" containsBlank="1" minDate="2026-09-06T00:00:00" maxDate="2026-09-15T00:00:00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tem 1"/>
    <x v="0"/>
    <n v="12.5"/>
    <d v="2026-09-07T00:00:00"/>
    <s v="Lunch"/>
  </r>
  <r>
    <s v="Item 2"/>
    <x v="1"/>
    <n v="8.99"/>
    <d v="2026-09-07T00:00:00"/>
    <s v="Pens"/>
  </r>
  <r>
    <s v="Item 3"/>
    <x v="2"/>
    <n v="42"/>
    <d v="2026-09-06T00:00:00"/>
    <s v="Trip"/>
  </r>
  <r>
    <s v="Item 4"/>
    <x v="3"/>
    <n v="14.25"/>
    <d v="2026-09-08T00:00:00"/>
    <s v="Notebooks"/>
  </r>
  <r>
    <s v="Item 5"/>
    <x v="4"/>
    <n v="63.8"/>
    <d v="2026-09-08T00:00:00"/>
    <s v="Electric Bill"/>
  </r>
  <r>
    <s v="Item 6"/>
    <x v="0"/>
    <n v="9.75"/>
    <d v="2026-09-08T00:00:00"/>
    <s v="Coffe &amp; Bagel"/>
  </r>
  <r>
    <s v="Item 7"/>
    <x v="5"/>
    <n v="18.399999999999999"/>
    <d v="2026-09-09T00:00:00"/>
    <s v="Bus Pass"/>
  </r>
  <r>
    <s v="Item 8"/>
    <x v="6"/>
    <n v="27.99"/>
    <d v="2026-09-09T00:00:00"/>
    <s v="Cleaning Supplies"/>
  </r>
  <r>
    <s v="Item 9"/>
    <x v="7"/>
    <n v="12.99"/>
    <d v="2026-09-10T00:00:00"/>
    <s v="Monthly Subscription"/>
  </r>
  <r>
    <s v="Item 10"/>
    <x v="8"/>
    <n v="45"/>
    <d v="2026-09-10T00:00:00"/>
    <s v="Mouse &amp; Keyboard"/>
  </r>
  <r>
    <s v="Item 11"/>
    <x v="9"/>
    <n v="6.5"/>
    <d v="2026-09-10T00:00:00"/>
    <s v="Document Copies"/>
  </r>
  <r>
    <s v="Item 12"/>
    <x v="10"/>
    <n v="29"/>
    <d v="2026-09-11T00:00:00"/>
    <s v="Online Course Fee"/>
  </r>
  <r>
    <s v="Item 13"/>
    <x v="2"/>
    <n v="38.200000000000003"/>
    <d v="2026-09-11T00:00:00"/>
    <s v="Commute"/>
  </r>
  <r>
    <s v="Item 14"/>
    <x v="11"/>
    <n v="4"/>
    <d v="2026-09-11T00:00:00"/>
    <s v="Downtown"/>
  </r>
  <r>
    <s v="Item 15"/>
    <x v="12"/>
    <n v="16.75"/>
    <d v="2026-09-12T00:00:00"/>
    <s v="Work Trip"/>
  </r>
  <r>
    <s v="Item 16"/>
    <x v="0"/>
    <n v="11.2"/>
    <d v="2026-09-12T00:00:00"/>
    <s v="Dinner"/>
  </r>
  <r>
    <s v="Item 17"/>
    <x v="13"/>
    <n v="54.6"/>
    <d v="2026-09-12T00:00:00"/>
    <s v="Weekly Shopping"/>
  </r>
  <r>
    <s v="Item 18"/>
    <x v="14"/>
    <n v="3.49"/>
    <d v="2026-09-13T00:00:00"/>
    <s v="Chips"/>
  </r>
  <r>
    <s v="Item 19"/>
    <x v="15"/>
    <n v="25"/>
    <d v="2026-09-13T00:00:00"/>
    <s v="Birthday Card"/>
  </r>
  <r>
    <s v="Item 20"/>
    <x v="16"/>
    <n v="17.89"/>
    <d v="2026-09-13T00:00:00"/>
    <s v="Cleaning Cloths"/>
  </r>
  <r>
    <s v="Item 21"/>
    <x v="3"/>
    <n v="9.49"/>
    <d v="2026-09-13T00:00:00"/>
    <s v="Sticky Notes"/>
  </r>
  <r>
    <s v="Item 22"/>
    <x v="17"/>
    <n v="4.25"/>
    <d v="2026-09-13T00:00:00"/>
    <s v="Ink Refill"/>
  </r>
  <r>
    <s v="Item 23"/>
    <x v="7"/>
    <n v="19.989999999999998"/>
    <d v="2026-09-14T00:00:00"/>
    <s v="Cloud Storage"/>
  </r>
  <r>
    <s v="Item 24"/>
    <x v="8"/>
    <n v="32.5"/>
    <d v="2026-09-14T00:00:00"/>
    <s v="Desk Lamp"/>
  </r>
  <r>
    <s v="Item 25"/>
    <x v="6"/>
    <n v="11.75"/>
    <d v="2026-09-14T00:00:00"/>
    <s v="Screen Cleaner"/>
  </r>
  <r>
    <m/>
    <x v="18"/>
    <n v="540.28000000000009"/>
    <m/>
    <m/>
  </r>
  <r>
    <m/>
    <x v="19"/>
    <n v="21.611200000000004"/>
    <m/>
    <m/>
  </r>
  <r>
    <m/>
    <x v="20"/>
    <n v="63.8"/>
    <m/>
    <m/>
  </r>
  <r>
    <m/>
    <x v="21"/>
    <n v="3.49"/>
    <m/>
    <m/>
  </r>
  <r>
    <m/>
    <x v="22"/>
    <n v="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3BF3E-7373-4810-A67E-232DFEF97679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3" rowHeaderCaption="Category">
  <location ref="A3:B26" firstHeaderRow="1" firstDataRow="1" firstDataCol="1"/>
  <pivotFields count="5">
    <pivotField showAll="0"/>
    <pivotField axis="axisRow" showAll="0" sortType="descending">
      <items count="24">
        <item x="19"/>
        <item x="8"/>
        <item x="0"/>
        <item x="2"/>
        <item x="15"/>
        <item x="13"/>
        <item x="20"/>
        <item x="16"/>
        <item x="21"/>
        <item x="6"/>
        <item x="3"/>
        <item x="11"/>
        <item x="9"/>
        <item x="17"/>
        <item x="12"/>
        <item x="14"/>
        <item x="7"/>
        <item x="1"/>
        <item n="Total Sum" x="18"/>
        <item x="22"/>
        <item x="10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"/>
  </rowFields>
  <rowItems count="23">
    <i>
      <x v="18"/>
    </i>
    <i>
      <x v="3"/>
    </i>
    <i>
      <x v="1"/>
    </i>
    <i>
      <x v="22"/>
    </i>
    <i>
      <x v="6"/>
    </i>
    <i>
      <x v="5"/>
    </i>
    <i>
      <x v="9"/>
    </i>
    <i>
      <x v="2"/>
    </i>
    <i>
      <x v="16"/>
    </i>
    <i>
      <x v="20"/>
    </i>
    <i>
      <x v="19"/>
    </i>
    <i>
      <x v="4"/>
    </i>
    <i>
      <x v="10"/>
    </i>
    <i>
      <x/>
    </i>
    <i>
      <x v="21"/>
    </i>
    <i>
      <x v="7"/>
    </i>
    <i>
      <x v="14"/>
    </i>
    <i>
      <x v="17"/>
    </i>
    <i>
      <x v="12"/>
    </i>
    <i>
      <x v="13"/>
    </i>
    <i>
      <x v="11"/>
    </i>
    <i>
      <x v="8"/>
    </i>
    <i>
      <x v="15"/>
    </i>
  </rowItems>
  <colItems count="1">
    <i/>
  </colItems>
  <dataFields count="1">
    <dataField name="Total Amount" fld="2" baseField="0" baseItem="0"/>
  </dataFields>
  <chartFormats count="4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0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0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27B8A-34F6-4975-A058-F26F757500A3}" name="ExpenseTracker" displayName="ExpenseTracker" ref="C4:G34" totalsRowShown="0" headerRowDxfId="9" dataDxfId="8">
  <autoFilter ref="C4:G34" xr:uid="{02227B8A-34F6-4975-A058-F26F757500A3}"/>
  <tableColumns count="5">
    <tableColumn id="1" xr3:uid="{0A4B5FDB-83D1-4D8A-BC66-0FD712D7AD65}" name="Item" dataDxfId="7"/>
    <tableColumn id="2" xr3:uid="{27A34A05-435F-488E-BDEC-122CBF5AD9AE}" name="Category" dataDxfId="6"/>
    <tableColumn id="3" xr3:uid="{6076E6A2-BB36-4643-9C5B-6277887C59E0}" name="Amount" dataDxfId="5"/>
    <tableColumn id="4" xr3:uid="{64C8FF02-ABB9-475C-9D4C-D308C8BD0DBF}" name="Date" dataDxfId="4"/>
    <tableColumn id="5" xr3:uid="{86C86986-0A86-4E90-94CF-CDDC16392EF6}" name="Notes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39E6-3F05-4C98-904D-BD5E323C43A9}">
  <dimension ref="A3:B26"/>
  <sheetViews>
    <sheetView workbookViewId="0">
      <selection activeCell="U12" sqref="U12"/>
    </sheetView>
  </sheetViews>
  <sheetFormatPr defaultRowHeight="15" x14ac:dyDescent="0.25"/>
  <cols>
    <col min="1" max="1" width="15.28515625" bestFit="1" customWidth="1"/>
    <col min="2" max="2" width="12.85546875" bestFit="1" customWidth="1"/>
  </cols>
  <sheetData>
    <row r="3" spans="1:2" x14ac:dyDescent="0.25">
      <c r="A3" s="7" t="s">
        <v>1</v>
      </c>
      <c r="B3" t="s">
        <v>73</v>
      </c>
    </row>
    <row r="4" spans="1:2" x14ac:dyDescent="0.25">
      <c r="A4" s="8" t="s">
        <v>79</v>
      </c>
      <c r="B4" s="9">
        <v>540.28000000000009</v>
      </c>
    </row>
    <row r="5" spans="1:2" x14ac:dyDescent="0.25">
      <c r="A5" s="8" t="s">
        <v>10</v>
      </c>
      <c r="B5" s="9">
        <v>80.2</v>
      </c>
    </row>
    <row r="6" spans="1:2" x14ac:dyDescent="0.25">
      <c r="A6" s="8" t="s">
        <v>42</v>
      </c>
      <c r="B6" s="9">
        <v>77.5</v>
      </c>
    </row>
    <row r="7" spans="1:2" x14ac:dyDescent="0.25">
      <c r="A7" s="8" t="s">
        <v>33</v>
      </c>
      <c r="B7" s="9">
        <v>63.8</v>
      </c>
    </row>
    <row r="8" spans="1:2" x14ac:dyDescent="0.25">
      <c r="A8" s="8" t="s">
        <v>75</v>
      </c>
      <c r="B8" s="9">
        <v>63.8</v>
      </c>
    </row>
    <row r="9" spans="1:2" x14ac:dyDescent="0.25">
      <c r="A9" s="8" t="s">
        <v>54</v>
      </c>
      <c r="B9" s="9">
        <v>54.6</v>
      </c>
    </row>
    <row r="10" spans="1:2" x14ac:dyDescent="0.25">
      <c r="A10" s="8" t="s">
        <v>38</v>
      </c>
      <c r="B10" s="9">
        <v>39.739999999999995</v>
      </c>
    </row>
    <row r="11" spans="1:2" x14ac:dyDescent="0.25">
      <c r="A11" s="8" t="s">
        <v>8</v>
      </c>
      <c r="B11" s="9">
        <v>33.450000000000003</v>
      </c>
    </row>
    <row r="12" spans="1:2" x14ac:dyDescent="0.25">
      <c r="A12" s="8" t="s">
        <v>40</v>
      </c>
      <c r="B12" s="9">
        <v>32.979999999999997</v>
      </c>
    </row>
    <row r="13" spans="1:2" x14ac:dyDescent="0.25">
      <c r="A13" s="8" t="s">
        <v>46</v>
      </c>
      <c r="B13" s="9">
        <v>29</v>
      </c>
    </row>
    <row r="14" spans="1:2" x14ac:dyDescent="0.25">
      <c r="A14" s="8" t="s">
        <v>77</v>
      </c>
      <c r="B14" s="9">
        <v>25</v>
      </c>
    </row>
    <row r="15" spans="1:2" x14ac:dyDescent="0.25">
      <c r="A15" s="8" t="s">
        <v>58</v>
      </c>
      <c r="B15" s="9">
        <v>25</v>
      </c>
    </row>
    <row r="16" spans="1:2" x14ac:dyDescent="0.25">
      <c r="A16" s="8" t="s">
        <v>31</v>
      </c>
      <c r="B16" s="9">
        <v>23.740000000000002</v>
      </c>
    </row>
    <row r="17" spans="1:2" x14ac:dyDescent="0.25">
      <c r="A17" s="8" t="s">
        <v>74</v>
      </c>
      <c r="B17" s="9">
        <v>21.611200000000004</v>
      </c>
    </row>
    <row r="18" spans="1:2" x14ac:dyDescent="0.25">
      <c r="A18" s="8" t="s">
        <v>36</v>
      </c>
      <c r="B18" s="9">
        <v>18.399999999999999</v>
      </c>
    </row>
    <row r="19" spans="1:2" x14ac:dyDescent="0.25">
      <c r="A19" s="8" t="s">
        <v>60</v>
      </c>
      <c r="B19" s="9">
        <v>17.89</v>
      </c>
    </row>
    <row r="20" spans="1:2" x14ac:dyDescent="0.25">
      <c r="A20" s="8" t="s">
        <v>51</v>
      </c>
      <c r="B20" s="9">
        <v>16.75</v>
      </c>
    </row>
    <row r="21" spans="1:2" x14ac:dyDescent="0.25">
      <c r="A21" s="8" t="s">
        <v>9</v>
      </c>
      <c r="B21" s="9">
        <v>8.99</v>
      </c>
    </row>
    <row r="22" spans="1:2" x14ac:dyDescent="0.25">
      <c r="A22" s="8" t="s">
        <v>44</v>
      </c>
      <c r="B22" s="9">
        <v>6.5</v>
      </c>
    </row>
    <row r="23" spans="1:2" x14ac:dyDescent="0.25">
      <c r="A23" s="8" t="s">
        <v>65</v>
      </c>
      <c r="B23" s="9">
        <v>4.25</v>
      </c>
    </row>
    <row r="24" spans="1:2" x14ac:dyDescent="0.25">
      <c r="A24" s="8" t="s">
        <v>49</v>
      </c>
      <c r="B24" s="9">
        <v>4</v>
      </c>
    </row>
    <row r="25" spans="1:2" x14ac:dyDescent="0.25">
      <c r="A25" s="8" t="s">
        <v>76</v>
      </c>
      <c r="B25" s="9">
        <v>3.49</v>
      </c>
    </row>
    <row r="26" spans="1:2" x14ac:dyDescent="0.25">
      <c r="A26" s="8" t="s">
        <v>56</v>
      </c>
      <c r="B26" s="9">
        <v>3.49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8774-9C22-4FDA-B34D-DDD0BB444A2F}">
  <sheetPr>
    <pageSetUpPr fitToPage="1"/>
  </sheetPr>
  <dimension ref="C1:G34"/>
  <sheetViews>
    <sheetView tabSelected="1" topLeftCell="A35" zoomScale="120" zoomScaleNormal="120" zoomScalePageLayoutView="80" workbookViewId="0">
      <selection activeCell="B55" sqref="B55"/>
    </sheetView>
  </sheetViews>
  <sheetFormatPr defaultRowHeight="15" x14ac:dyDescent="0.25"/>
  <cols>
    <col min="2" max="2" width="11.28515625" customWidth="1"/>
    <col min="3" max="3" width="10.7109375" customWidth="1"/>
    <col min="4" max="4" width="18.7109375" customWidth="1"/>
    <col min="5" max="5" width="12.7109375" customWidth="1"/>
    <col min="6" max="6" width="10.7109375" customWidth="1"/>
    <col min="7" max="7" width="19.85546875" bestFit="1" customWidth="1"/>
    <col min="8" max="8" width="10.28515625" bestFit="1" customWidth="1"/>
  </cols>
  <sheetData>
    <row r="1" spans="3:7" ht="15.75" thickBot="1" x14ac:dyDescent="0.3"/>
    <row r="2" spans="3:7" ht="27" thickBot="1" x14ac:dyDescent="0.3">
      <c r="C2" s="4" t="s">
        <v>78</v>
      </c>
      <c r="D2" s="5"/>
      <c r="E2" s="5"/>
      <c r="F2" s="5"/>
      <c r="G2" s="6"/>
    </row>
    <row r="4" spans="3:7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3:7" x14ac:dyDescent="0.25">
      <c r="C5" s="2" t="s">
        <v>5</v>
      </c>
      <c r="D5" s="2" t="s">
        <v>8</v>
      </c>
      <c r="E5" s="2">
        <v>12.5</v>
      </c>
      <c r="F5" s="3">
        <v>46272</v>
      </c>
      <c r="G5" s="2" t="s">
        <v>11</v>
      </c>
    </row>
    <row r="6" spans="3:7" x14ac:dyDescent="0.25">
      <c r="C6" s="2" t="s">
        <v>6</v>
      </c>
      <c r="D6" s="2" t="s">
        <v>9</v>
      </c>
      <c r="E6" s="2">
        <v>8.99</v>
      </c>
      <c r="F6" s="3">
        <v>46272</v>
      </c>
      <c r="G6" s="2" t="s">
        <v>12</v>
      </c>
    </row>
    <row r="7" spans="3:7" x14ac:dyDescent="0.25">
      <c r="C7" s="2" t="s">
        <v>7</v>
      </c>
      <c r="D7" s="2" t="s">
        <v>10</v>
      </c>
      <c r="E7" s="2">
        <v>42</v>
      </c>
      <c r="F7" s="3">
        <v>46271</v>
      </c>
      <c r="G7" s="2" t="s">
        <v>13</v>
      </c>
    </row>
    <row r="8" spans="3:7" x14ac:dyDescent="0.25">
      <c r="C8" s="2" t="s">
        <v>14</v>
      </c>
      <c r="D8" s="2" t="s">
        <v>31</v>
      </c>
      <c r="E8" s="2">
        <v>14.25</v>
      </c>
      <c r="F8" s="3">
        <v>46273</v>
      </c>
      <c r="G8" s="2" t="s">
        <v>32</v>
      </c>
    </row>
    <row r="9" spans="3:7" x14ac:dyDescent="0.25">
      <c r="C9" s="2" t="s">
        <v>15</v>
      </c>
      <c r="D9" s="2" t="s">
        <v>33</v>
      </c>
      <c r="E9" s="2">
        <v>63.8</v>
      </c>
      <c r="F9" s="3">
        <v>46273</v>
      </c>
      <c r="G9" s="2" t="s">
        <v>34</v>
      </c>
    </row>
    <row r="10" spans="3:7" x14ac:dyDescent="0.25">
      <c r="C10" s="2" t="s">
        <v>16</v>
      </c>
      <c r="D10" s="2" t="s">
        <v>8</v>
      </c>
      <c r="E10" s="2">
        <v>9.75</v>
      </c>
      <c r="F10" s="3">
        <v>46273</v>
      </c>
      <c r="G10" s="2" t="s">
        <v>35</v>
      </c>
    </row>
    <row r="11" spans="3:7" x14ac:dyDescent="0.25">
      <c r="C11" s="2" t="s">
        <v>17</v>
      </c>
      <c r="D11" s="2" t="s">
        <v>36</v>
      </c>
      <c r="E11" s="2">
        <v>18.399999999999999</v>
      </c>
      <c r="F11" s="3">
        <v>46274</v>
      </c>
      <c r="G11" s="2" t="s">
        <v>37</v>
      </c>
    </row>
    <row r="12" spans="3:7" x14ac:dyDescent="0.25">
      <c r="C12" s="2" t="s">
        <v>18</v>
      </c>
      <c r="D12" s="2" t="s">
        <v>38</v>
      </c>
      <c r="E12" s="2">
        <v>27.99</v>
      </c>
      <c r="F12" s="3">
        <v>46274</v>
      </c>
      <c r="G12" s="2" t="s">
        <v>39</v>
      </c>
    </row>
    <row r="13" spans="3:7" x14ac:dyDescent="0.25">
      <c r="C13" s="2" t="s">
        <v>19</v>
      </c>
      <c r="D13" s="2" t="s">
        <v>40</v>
      </c>
      <c r="E13" s="2">
        <v>12.99</v>
      </c>
      <c r="F13" s="3">
        <v>46275</v>
      </c>
      <c r="G13" s="2" t="s">
        <v>41</v>
      </c>
    </row>
    <row r="14" spans="3:7" x14ac:dyDescent="0.25">
      <c r="C14" s="2" t="s">
        <v>20</v>
      </c>
      <c r="D14" s="2" t="s">
        <v>42</v>
      </c>
      <c r="E14" s="2">
        <v>45</v>
      </c>
      <c r="F14" s="3">
        <v>46275</v>
      </c>
      <c r="G14" s="2" t="s">
        <v>43</v>
      </c>
    </row>
    <row r="15" spans="3:7" x14ac:dyDescent="0.25">
      <c r="C15" s="2" t="s">
        <v>21</v>
      </c>
      <c r="D15" s="2" t="s">
        <v>44</v>
      </c>
      <c r="E15" s="2">
        <v>6.5</v>
      </c>
      <c r="F15" s="3">
        <v>46275</v>
      </c>
      <c r="G15" s="2" t="s">
        <v>45</v>
      </c>
    </row>
    <row r="16" spans="3:7" x14ac:dyDescent="0.25">
      <c r="C16" s="2" t="s">
        <v>22</v>
      </c>
      <c r="D16" s="2" t="s">
        <v>46</v>
      </c>
      <c r="E16" s="2">
        <v>29</v>
      </c>
      <c r="F16" s="3">
        <v>46276</v>
      </c>
      <c r="G16" s="2" t="s">
        <v>47</v>
      </c>
    </row>
    <row r="17" spans="3:7" x14ac:dyDescent="0.25">
      <c r="C17" s="2" t="s">
        <v>23</v>
      </c>
      <c r="D17" s="2" t="s">
        <v>10</v>
      </c>
      <c r="E17" s="2">
        <v>38.200000000000003</v>
      </c>
      <c r="F17" s="3">
        <v>46276</v>
      </c>
      <c r="G17" s="2" t="s">
        <v>48</v>
      </c>
    </row>
    <row r="18" spans="3:7" x14ac:dyDescent="0.25">
      <c r="C18" s="2" t="s">
        <v>24</v>
      </c>
      <c r="D18" s="2" t="s">
        <v>49</v>
      </c>
      <c r="E18" s="2">
        <v>4</v>
      </c>
      <c r="F18" s="3">
        <v>46276</v>
      </c>
      <c r="G18" s="2" t="s">
        <v>50</v>
      </c>
    </row>
    <row r="19" spans="3:7" x14ac:dyDescent="0.25">
      <c r="C19" s="2" t="s">
        <v>25</v>
      </c>
      <c r="D19" s="2" t="s">
        <v>51</v>
      </c>
      <c r="E19" s="2">
        <v>16.75</v>
      </c>
      <c r="F19" s="3">
        <v>46277</v>
      </c>
      <c r="G19" s="2" t="s">
        <v>52</v>
      </c>
    </row>
    <row r="20" spans="3:7" x14ac:dyDescent="0.25">
      <c r="C20" s="2" t="s">
        <v>26</v>
      </c>
      <c r="D20" s="2" t="s">
        <v>8</v>
      </c>
      <c r="E20" s="2">
        <v>11.2</v>
      </c>
      <c r="F20" s="3">
        <v>46277</v>
      </c>
      <c r="G20" s="2" t="s">
        <v>53</v>
      </c>
    </row>
    <row r="21" spans="3:7" x14ac:dyDescent="0.25">
      <c r="C21" s="2" t="s">
        <v>27</v>
      </c>
      <c r="D21" s="2" t="s">
        <v>54</v>
      </c>
      <c r="E21" s="2">
        <v>54.6</v>
      </c>
      <c r="F21" s="3">
        <v>46277</v>
      </c>
      <c r="G21" s="2" t="s">
        <v>55</v>
      </c>
    </row>
    <row r="22" spans="3:7" x14ac:dyDescent="0.25">
      <c r="C22" s="2" t="s">
        <v>28</v>
      </c>
      <c r="D22" s="2" t="s">
        <v>56</v>
      </c>
      <c r="E22" s="2">
        <v>3.49</v>
      </c>
      <c r="F22" s="3">
        <v>46278</v>
      </c>
      <c r="G22" s="2" t="s">
        <v>57</v>
      </c>
    </row>
    <row r="23" spans="3:7" x14ac:dyDescent="0.25">
      <c r="C23" s="2" t="s">
        <v>29</v>
      </c>
      <c r="D23" s="2" t="s">
        <v>58</v>
      </c>
      <c r="E23" s="2">
        <v>25</v>
      </c>
      <c r="F23" s="3">
        <v>46278</v>
      </c>
      <c r="G23" s="2" t="s">
        <v>59</v>
      </c>
    </row>
    <row r="24" spans="3:7" x14ac:dyDescent="0.25">
      <c r="C24" s="2" t="s">
        <v>30</v>
      </c>
      <c r="D24" s="2" t="s">
        <v>60</v>
      </c>
      <c r="E24" s="2">
        <v>17.89</v>
      </c>
      <c r="F24" s="3">
        <v>46278</v>
      </c>
      <c r="G24" s="2" t="s">
        <v>61</v>
      </c>
    </row>
    <row r="25" spans="3:7" x14ac:dyDescent="0.25">
      <c r="C25" s="2" t="s">
        <v>62</v>
      </c>
      <c r="D25" s="2" t="s">
        <v>31</v>
      </c>
      <c r="E25" s="2">
        <v>9.49</v>
      </c>
      <c r="F25" s="3">
        <v>46278</v>
      </c>
      <c r="G25" s="2" t="s">
        <v>63</v>
      </c>
    </row>
    <row r="26" spans="3:7" x14ac:dyDescent="0.25">
      <c r="C26" s="2" t="s">
        <v>64</v>
      </c>
      <c r="D26" s="2" t="s">
        <v>65</v>
      </c>
      <c r="E26" s="2">
        <v>4.25</v>
      </c>
      <c r="F26" s="3">
        <v>46278</v>
      </c>
      <c r="G26" s="2" t="s">
        <v>66</v>
      </c>
    </row>
    <row r="27" spans="3:7" x14ac:dyDescent="0.25">
      <c r="C27" s="2" t="s">
        <v>67</v>
      </c>
      <c r="D27" s="2" t="s">
        <v>40</v>
      </c>
      <c r="E27" s="2">
        <v>19.989999999999998</v>
      </c>
      <c r="F27" s="3">
        <v>46279</v>
      </c>
      <c r="G27" s="2" t="s">
        <v>68</v>
      </c>
    </row>
    <row r="28" spans="3:7" x14ac:dyDescent="0.25">
      <c r="C28" s="2" t="s">
        <v>69</v>
      </c>
      <c r="D28" s="2" t="s">
        <v>42</v>
      </c>
      <c r="E28" s="2">
        <v>32.5</v>
      </c>
      <c r="F28" s="3">
        <v>46279</v>
      </c>
      <c r="G28" s="2" t="s">
        <v>70</v>
      </c>
    </row>
    <row r="29" spans="3:7" x14ac:dyDescent="0.25">
      <c r="C29" s="2" t="s">
        <v>71</v>
      </c>
      <c r="D29" s="2" t="s">
        <v>38</v>
      </c>
      <c r="E29" s="2">
        <v>11.75</v>
      </c>
      <c r="F29" s="3">
        <v>46279</v>
      </c>
      <c r="G29" s="2" t="s">
        <v>72</v>
      </c>
    </row>
    <row r="30" spans="3:7" x14ac:dyDescent="0.25">
      <c r="C30" s="2"/>
      <c r="D30" s="2" t="s">
        <v>73</v>
      </c>
      <c r="E30" s="2">
        <f>SUM(E5:E29)</f>
        <v>540.28000000000009</v>
      </c>
      <c r="F30" s="2"/>
      <c r="G30" s="2"/>
    </row>
    <row r="31" spans="3:7" x14ac:dyDescent="0.25">
      <c r="C31" s="2"/>
      <c r="D31" s="2" t="s">
        <v>74</v>
      </c>
      <c r="E31" s="2">
        <f>AVERAGE(E5:E29)</f>
        <v>21.611200000000004</v>
      </c>
      <c r="F31" s="2"/>
      <c r="G31" s="2"/>
    </row>
    <row r="32" spans="3:7" x14ac:dyDescent="0.25">
      <c r="C32" s="2"/>
      <c r="D32" s="2" t="s">
        <v>75</v>
      </c>
      <c r="E32" s="2">
        <f>MAX(E5:E29)</f>
        <v>63.8</v>
      </c>
      <c r="F32" s="2"/>
      <c r="G32" s="2"/>
    </row>
    <row r="33" spans="3:7" x14ac:dyDescent="0.25">
      <c r="C33" s="2"/>
      <c r="D33" s="2" t="s">
        <v>76</v>
      </c>
      <c r="E33" s="2">
        <f>MIN(E5:E29)</f>
        <v>3.49</v>
      </c>
      <c r="F33" s="2"/>
      <c r="G33" s="2"/>
    </row>
    <row r="34" spans="3:7" x14ac:dyDescent="0.25">
      <c r="C34" s="2"/>
      <c r="D34" s="2" t="s">
        <v>77</v>
      </c>
      <c r="E34" s="2">
        <f>COUNT(E5:E29)</f>
        <v>25</v>
      </c>
      <c r="F34" s="2"/>
      <c r="G34" s="2"/>
    </row>
  </sheetData>
  <mergeCells count="1">
    <mergeCell ref="C2:G2"/>
  </mergeCells>
  <conditionalFormatting sqref="E5:E29">
    <cfRule type="iconSet" priority="1">
      <iconSet iconSet="3Arrows"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{86DBF736-D1FF-483A-84DC-C9A47AB30CDA}</x14:id>
        </ext>
      </extLst>
    </cfRule>
    <cfRule type="cellIs" dxfId="2" priority="4" operator="lessThan">
      <formula>10</formula>
    </cfRule>
    <cfRule type="cellIs" dxfId="1" priority="5" operator="lessThan">
      <formula>10</formula>
    </cfRule>
    <cfRule type="cellIs" dxfId="0" priority="6" operator="greaterThan">
      <formula>25</formula>
    </cfRule>
  </conditionalFormatting>
  <pageMargins left="0.7" right="0.7" top="0.75" bottom="0.75" header="0.3" footer="0.3"/>
  <pageSetup scale="54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DBF736-D1FF-483A-84DC-C9A47AB3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Rogalla</dc:creator>
  <cp:lastModifiedBy>Nick Rogalla</cp:lastModifiedBy>
  <dcterms:created xsi:type="dcterms:W3CDTF">2026-09-07T23:52:51Z</dcterms:created>
  <dcterms:modified xsi:type="dcterms:W3CDTF">2026-09-11T02:55:41Z</dcterms:modified>
</cp:coreProperties>
</file>